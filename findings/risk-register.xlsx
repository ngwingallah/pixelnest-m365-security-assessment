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dings"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<sst xmlns="http://schemas.openxmlformats.org/spreadsheetml/2006/main" count="177" uniqueCount="125">
  <si>
    <t xml:space="preserve">ID</t>
  </si>
  <si>
    <t xml:space="preserve">Title</t>
  </si>
  <si>
    <t xml:space="preserve">Area</t>
  </si>
  <si>
    <t xml:space="preserve">Description</t>
  </si>
  <si>
    <t xml:space="preserve">Evidence file</t>
  </si>
  <si>
    <t xml:space="preserve">Likelihood (1-5)</t>
  </si>
  <si>
    <t xml:space="preserve">Impact (1-5)</t>
  </si>
  <si>
    <t xml:space="preserve">Risk score</t>
  </si>
  <si>
    <t xml:space="preserve">Rating</t>
  </si>
  <si>
    <t xml:space="preserve">Recommendation</t>
  </si>
  <si>
    <t xml:space="preserve">Owner</t>
  </si>
  <si>
    <t xml:space="preserve">Status</t>
  </si>
  <si>
    <t xml:space="preserve">F-01</t>
  </si>
  <si>
    <t xml:space="preserve">WAN rule allows any to any</t>
  </si>
  <si>
    <t xml:space="preserve">Firewall</t>
  </si>
  <si>
    <t xml:space="preserve">The WAN rule Testing passes all IPv4 traffic from any source to any destination. It sits above the default deny and cancels inbound filtering, so the firewall stops protecting the LAN.</t>
  </si>
  <si>
    <t xml:space="preserve">day1/D1-06a-wan-rules.png</t>
  </si>
  <si>
    <t xml:space="preserve">Delete the rule. Rely on the default deny for unmatched inbound traffic.</t>
  </si>
  <si>
    <t xml:space="preserve">IT Lead</t>
  </si>
  <si>
    <t xml:space="preserve">Remediated</t>
  </si>
  <si>
    <t xml:space="preserve">F-02</t>
  </si>
  <si>
    <t xml:space="preserve">RDP (TCP 3389) open from the WAN</t>
  </si>
  <si>
    <t xml:space="preserve">Temp remote access passes TCP 3389 from any source to the Ubuntu host 192.168.1.126. RDP is one of the most scanned services on the internet and a common entry point for password spraying and ransomware.</t>
  </si>
  <si>
    <t xml:space="preserve">Delete the rule. Provide remote access through a WireGuard VPN with MFA-protected accounts.</t>
  </si>
  <si>
    <t xml:space="preserve">F-03</t>
  </si>
  <si>
    <t xml:space="preserve">Designer holds Global Administrator</t>
  </si>
  <si>
    <t xml:space="preserve">Roles</t>
  </si>
  <si>
    <t xml:space="preserve">Daniel Kim (Designer) holds Global Administrator on his daily, licensed account. A phished password gives an attacker full control of the tenant.</t>
  </si>
  <si>
    <t xml:space="preserve">day2/D2-01-global-admins.png</t>
  </si>
  <si>
    <t xml:space="preserve">Create a second break-glass account first, then remove the role from Daniel Kim.</t>
  </si>
  <si>
    <t xml:space="preserve">F-04</t>
  </si>
  <si>
    <t xml:space="preserve">FTP (TCP 21) open from the WAN</t>
  </si>
  <si>
    <t xml:space="preserve">Old client file transfer passes TCP 21 to 192.168.1.126. FTP sends credentials and files in clear text, and the client relationship it served has ended.</t>
  </si>
  <si>
    <t xml:space="preserve">Delete the rule. Share client files through SharePoint with Specific people links.</t>
  </si>
  <si>
    <t xml:space="preserve">F-05</t>
  </si>
  <si>
    <t xml:space="preserve">Designer is a member of Finance and HR</t>
  </si>
  <si>
    <t xml:space="preserve">Groups</t>
  </si>
  <si>
    <t xml:space="preserve">Sofia Alvarez (Designer) is a member of the Finance and HR groups. She can open invoices, salary data and personal records that her role does not need.</t>
  </si>
  <si>
    <t xml:space="preserve">day2/D2-10-members-finance.png, day2/D2-10-members-hr.png</t>
  </si>
  <si>
    <t xml:space="preserve">Remove Sofia Alvarez from Finance and HR. Keep Design-Team only.</t>
  </si>
  <si>
    <t xml:space="preserve">Operations Manager</t>
  </si>
  <si>
    <t xml:space="preserve">F-06</t>
  </si>
  <si>
    <t xml:space="preserve">Anyone edit link on invoice file; org allows Anyone links</t>
  </si>
  <si>
    <t xml:space="preserve">SharePoint</t>
  </si>
  <si>
    <t xml:space="preserve">Invoices-2026.xlsx in the Finance site has an Anyone link with edit rights. Org sharing for SharePoint and OneDrive is set to Anyone, default permission is Edit, and Anyone links never expire.</t>
  </si>
  <si>
    <t xml:space="preserve">day4/D4-05-issue-8-anyone-edit-link.png, day4/D4-01-org-sharing.png, day4/D4-02-link-settings.png</t>
  </si>
  <si>
    <t xml:space="preserve">Delete the Anyone link. Set org sharing to New and existing guests, default link Specific people, default permission View, Anyone links off or expiring within 7 days.</t>
  </si>
  <si>
    <t xml:space="preserve">F-07</t>
  </si>
  <si>
    <t xml:space="preserve">14 of 17 accounts not registered for MFA</t>
  </si>
  <si>
    <t xml:space="preserve">MFA</t>
  </si>
  <si>
    <t xml:space="preserve">Only admin, Olivia Grant and Priya Shah are MFA capable. Security defaults prompt the others at first sign-in, so an attacker who has a password first could register their own device.</t>
  </si>
  <si>
    <t xml:space="preserve">day2/D2-16-mfa-registration.png</t>
  </si>
  <si>
    <t xml:space="preserve">Run a registration campaign now. Move to a Conditional Access policy that requires MFA for all users.</t>
  </si>
  <si>
    <t xml:space="preserve">F-08</t>
  </si>
  <si>
    <t xml:space="preserve">Stale guest with Design-Team access</t>
  </si>
  <si>
    <t xml:space="preserve">Guests</t>
  </si>
  <si>
    <t xml:space="preserve">Alex Reed (Reed Studio) never accepted his invite, his project ended in March 2026, and he is still a member of Design-Team.</t>
  </si>
  <si>
    <t xml:space="preserve">day2/D2-13-guest-alex.png</t>
  </si>
  <si>
    <t xml:space="preserve">Delete the guest account. Add a guest end date to the onboarding process.</t>
  </si>
  <si>
    <t xml:space="preserve">F-09</t>
  </si>
  <si>
    <t xml:space="preserve">Contractor in internal Design-Team</t>
  </si>
  <si>
    <t xml:space="preserve">Taylor Morgan is a contractor who needs Client-Projects only, but is also a member of Design-Team and can read internal design work.</t>
  </si>
  <si>
    <t xml:space="preserve">day2/D2-12-guest-taylor.png, day2/D2-10-members-design-team.png</t>
  </si>
  <si>
    <t xml:space="preserve">Remove Taylor Morgan from Design-Team. Keep Client-Projects.</t>
  </si>
  <si>
    <t xml:space="preserve">Creative Director</t>
  </si>
  <si>
    <t xml:space="preserve">F-10</t>
  </si>
  <si>
    <t xml:space="preserve">Anyone can invite guests; group owners can add guests</t>
  </si>
  <si>
    <t xml:space="preserve">Guest invite settings allow anyone in the organization, including guests, to invite guests. Microsoft 365 Groups also let owners add outside people. Both bypass any approval step.</t>
  </si>
  <si>
    <t xml:space="preserve">day2/D2-14-external-collab.png, day3/D3-05-m365-groups.png</t>
  </si>
  <si>
    <t xml:space="preserve">Limit invites to users assigned specific admin roles. Turn off owner-added guests or document an approval step.</t>
  </si>
  <si>
    <t xml:space="preserve">F-11</t>
  </si>
  <si>
    <t xml:space="preserve">Teams external access open to all domains and personal accounts</t>
  </si>
  <si>
    <t xml:space="preserve">Teams</t>
  </si>
  <si>
    <t xml:space="preserve">External access allows all external domains and chats with unmanaged Microsoft accounts. Anyone with a Teams account can message staff, a known route for phishing and fake IT support.</t>
  </si>
  <si>
    <t xml:space="preserve">day3/D3-07a-external-access.png, day3/D3-07b-external-access-unmanaged.png</t>
  </si>
  <si>
    <t xml:space="preserve">Allow only client domains. Turn off unmanaged Teams accounts.</t>
  </si>
  <si>
    <t xml:space="preserve">F-12</t>
  </si>
  <si>
    <t xml:space="preserve">Sensitive sites allow external sharing</t>
  </si>
  <si>
    <t xml:space="preserve">External sharing is On for every site, including Finance, HR and Management. Only Client-Projects needs guest sharing.</t>
  </si>
  <si>
    <t xml:space="preserve">day4/D4-04-sites.png</t>
  </si>
  <si>
    <t xml:space="preserve">Set Finance, HR, Management, Design-Team and IT-Support to Only people in your organization.</t>
  </si>
  <si>
    <t xml:space="preserve">F-13</t>
  </si>
  <si>
    <t xml:space="preserve">Anonymous users can join meetings unverified</t>
  </si>
  <si>
    <t xml:space="preserve">Anonymous users can join meetings without verification and interact with apps. Lobby bypass is already limited to people in the org and guests, which reduces the risk.</t>
  </si>
  <si>
    <t xml:space="preserve">day3/D3-01-meeting-policy.png, day3/D3-02-meeting-settings.png</t>
  </si>
  <si>
    <t xml:space="preserve">Keep anonymous join for clients, but require verification and keep anonymous users in the lobby. Set Who can present to people in the org and guests.</t>
  </si>
  <si>
    <t xml:space="preserve">F-14</t>
  </si>
  <si>
    <t xml:space="preserve">Direct edit share to a guest on a client folder</t>
  </si>
  <si>
    <t xml:space="preserve">The Acme-Rebrand folder is shared directly with Taylor Morgan with edit rights. The share survives removal from Client-Projects, so access would outlive the contract.</t>
  </si>
  <si>
    <t xml:space="preserve">day4/D4-05-issue-9-direct-guest-share.png</t>
  </si>
  <si>
    <t xml:space="preserve">Remove the direct share. Grant access through Client-Projects membership only.</t>
  </si>
  <si>
    <t xml:space="preserve">F-15</t>
  </si>
  <si>
    <t xml:space="preserve">Break-glass admin is licensed with a mailbox</t>
  </si>
  <si>
    <t xml:space="preserve">The admin account holds a Business Premium license and mailbox. Using it for email raises its phishing exposure. Jordan Blake's separate unlicensed admin account is the correct pattern.</t>
  </si>
  <si>
    <t xml:space="preserve">day1/D1-02-users.png</t>
  </si>
  <si>
    <t xml:space="preserve">Remove the license from admin. Keep 2 unlicensed break-glass accounts.</t>
  </si>
  <si>
    <t xml:space="preserve">F-16</t>
  </si>
  <si>
    <t xml:space="preserve">Firewall rule hygiene</t>
  </si>
  <si>
    <t xml:space="preserve">No WAN pass rule logs traffic, and the two disabled default LAN rules remain in the list where they could be re-enabled by mistake.</t>
  </si>
  <si>
    <t xml:space="preserve">day1/D1-06b-lan-rules.png</t>
  </si>
  <si>
    <t xml:space="preserve">Delete the disabled rules. Log any WAN pass rule that remains.</t>
  </si>
  <si>
    <t xml:space="preserve">F-17</t>
  </si>
  <si>
    <t xml:space="preserve">Org-wide team is Public</t>
  </si>
  <si>
    <t xml:space="preserve">The default team Pixelnestlab is Public with 14 members. Any member can join and read its files, so sensitive files posted there reach the whole company.</t>
  </si>
  <si>
    <t xml:space="preserve">day3/D3-08-teams-list.png</t>
  </si>
  <si>
    <t xml:space="preserve">Set the team to Private or archive it if unused.</t>
  </si>
  <si>
    <t xml:space="preserve">F-18</t>
  </si>
  <si>
    <t xml:space="preserve">Any user can create private and shared channels</t>
  </si>
  <si>
    <t xml:space="preserve">The global Teams policy lets every user create private and shared channels and invite external users to shared channels. Each channel creates a separate SharePoint site that is easy to miss in reviews.</t>
  </si>
  <si>
    <t xml:space="preserve">day3/D3-04-teams-policy.png</t>
  </si>
  <si>
    <t xml:space="preserve">Restrict shared channel creation and external invites to owners, or accept with a quarterly review.</t>
  </si>
  <si>
    <t xml:space="preserve">F-19</t>
  </si>
  <si>
    <t xml:space="preserve">Firewall update pending</t>
  </si>
  <si>
    <t xml:space="preserve">The firewall runs OPNsense 26.7 while 26.7.5 is released with security fixes. The web GUI listens on all interfaces, which the any-to-any WAN rule makes reachable.</t>
  </si>
  <si>
    <t xml:space="preserve">day1/D1-07a-opnsense-dashboard.png, day5/D5-05-nmap.png</t>
  </si>
  <si>
    <t xml:space="preserve">Back up the config, then update. Limit GUI access to an admin host.</t>
  </si>
  <si>
    <t xml:space="preserve">All fixes applied on Day 6 per remediation/remediation-plan.md. After screenshots were not captured.</t>
  </si>
  <si>
    <t xml:space="preserve">Count</t>
  </si>
  <si>
    <t xml:space="preserve">Critical</t>
  </si>
  <si>
    <t xml:space="preserve">High</t>
  </si>
  <si>
    <t xml:space="preserve">Medium</t>
  </si>
  <si>
    <t xml:space="preserve">Low</t>
  </si>
  <si>
    <t xml:space="preserve">Total</t>
  </si>
  <si>
    <t xml:space="preserve">Accepted</t>
  </si>
  <si>
    <t xml:space="preserve">Open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</si>
</sst>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name val="Arial"/>
      <family val="0"/>
      <charset val="1"/>
    </font>
    <font>
      <b val="true"/>
      <sz val="10"/>
      <name val="Arial"/>
      <family val="0"/>
      <charset val="1"/>
    </font>
    <font>
      <b val="true"/>
      <sz val="18"/>
      <color rgb="FF000000"/>
      <name val="Calibri"/>
      <family val="2"/>
    </font>
    <font>
      <sz val="10"/>
      <color rgb="FF000000"/>
      <name val="Calibri"/>
      <family val="2"/>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FFFFFF"/>
      </font>
      <fill>
        <patternFill>
          <bgColor rgb="FFC00000"/>
        </patternFill>
      </fill>
    </dxf>
    <dxf>
      <font>
        <name val="Arial"/>
        <charset val="1"/>
        <family val="0"/>
        <b val="1"/>
        <color rgb="FFFFFFFF"/>
      </font>
      <fill>
        <patternFill>
          <bgColor rgb="FFED7D31"/>
        </patternFill>
      </fill>
    </dxf>
    <dxf>
      <font>
        <name val="Arial"/>
        <charset val="1"/>
        <family val="0"/>
        <b val="1"/>
        <color rgb="FF000000"/>
      </font>
      <fill>
        <patternFill>
          <bgColor rgb="FFFFC000"/>
        </patternFill>
      </fill>
    </dxf>
    <dxf>
      <font>
        <name val="Arial"/>
        <charset val="1"/>
        <family val="0"/>
        <b val="1"/>
        <color rgb="FF000000"/>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4F81BD"/>
      <rgbColor rgb="FF70AD47"/>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Findings by rating</a:t>
            </a:r>
          </a:p>
        </c:rich>
      </c:tx>
      <c:overlay val="0"/>
      <c:spPr>
        <a:noFill/>
        <a:ln w="0">
          <a:noFill/>
        </a:ln>
      </c:spPr>
    </c:title>
    <c:autoTitleDeleted val="0"/>
    <c:plotArea>
      <c:barChart>
        <c:barDir val="col"/>
        <c:grouping val="clustered"/>
        <c:varyColors val="0"/>
        <c:ser>
          <c:idx val="0"/>
          <c:order val="0"/>
          <c:tx>
            <c:strRef>
              <c:f>Summary!B1</c:f>
              <c:strCache>
                <c:ptCount val="1"/>
                <c:pt idx="0">
                  <c:v>Count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Summary!$A$2:$A$5</c:f>
              <c:strCache>
                <c:ptCount val="4"/>
                <c:pt idx="0">
                  <c:v>Critical</c:v>
                </c:pt>
                <c:pt idx="1">
                  <c:v>High</c:v>
                </c:pt>
                <c:pt idx="2">
                  <c:v>Medium</c:v>
                </c:pt>
                <c:pt idx="3">
                  <c:v>Low</c:v>
                </c:pt>
              </c:strCache>
            </c:strRef>
          </c:cat>
          <c:val>
            <c:numRef>
              <c:f>Summary!$B$2:$B$5</c:f>
              <c:numCache>
                <c:formatCode>General</c:formatCode>
                <c:ptCount val="4"/>
                <c:pt idx="0">
                  <c:v>3</c:v>
                </c:pt>
                <c:pt idx="1">
                  <c:v>4</c:v>
                </c:pt>
                <c:pt idx="2">
                  <c:v>8</c:v>
                </c:pt>
                <c:pt idx="3">
                  <c:v>4</c:v>
                </c:pt>
              </c:numCache>
            </c:numRef>
          </c:val>
        </c:ser>
        <c:gapWidth val="150"/>
        <c:overlap val="0"/>
        <c:axId val="14326360"/>
        <c:axId val="87029048"/>
      </c:barChart>
      <c:catAx>
        <c:axId val="1432636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029048"/>
        <c:crosses val="autoZero"/>
        <c:auto val="1"/>
        <c:lblAlgn val="ctr"/>
        <c:lblOffset val="100"/>
        <c:noMultiLvlLbl val="0"/>
      </c:catAx>
      <c:valAx>
        <c:axId val="87029048"/>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3263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0</xdr:row>
      <xdr:rowOff>0</xdr:rowOff>
    </xdr:from>
    <xdr:to>
      <xdr:col>10</xdr:col>
      <xdr:colOff>38520</xdr:colOff>
      <xdr:row>13</xdr:row>
      <xdr:rowOff>42840</xdr:rowOff>
    </xdr:to>
    <xdr:graphicFrame>
      <xdr:nvGraphicFramePr>
        <xdr:cNvPr id="0" name="Chart 1"/>
        <xdr:cNvGraphicFramePr/>
      </xdr:nvGraphicFramePr>
      <xdr:xfrm>
        <a:off x="2209680" y="0"/>
        <a:ext cx="4319280" cy="25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3" min="3" style="1" width="12"/>
    <col collapsed="false" customWidth="true" hidden="false" outlineLevel="0" max="4" min="4" style="1" width="60"/>
    <col collapsed="false" customWidth="true" hidden="false" outlineLevel="0" max="5" min="5" style="1" width="38"/>
    <col collapsed="false" customWidth="true" hidden="false" outlineLevel="0" max="7" min="6" style="1" width="10"/>
    <col collapsed="false" customWidth="true" hidden="false" outlineLevel="0" max="8" min="8" style="1" width="9"/>
    <col collapsed="false" customWidth="true" hidden="false" outlineLevel="0" max="9" min="9" style="1" width="10"/>
    <col collapsed="false" customWidth="true" hidden="false" outlineLevel="0" max="10" min="10" style="1" width="50"/>
    <col collapsed="false" customWidth="true" hidden="false" outlineLevel="0" max="11" min="11" style="1" width="18"/>
    <col collapsed="false" customWidth="true" hidden="false" outlineLevel="0" max="12" min="12" style="1" width="10"/>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34.5" hidden="false" customHeight="true" outlineLevel="0" collapsed="false">
      <c r="A2" s="3" t="s">
        <v>12</v>
      </c>
      <c r="B2" s="3" t="s">
        <v>13</v>
      </c>
      <c r="C2" s="3" t="s">
        <v>14</v>
      </c>
      <c r="D2" s="3" t="s">
        <v>15</v>
      </c>
      <c r="E2" s="3" t="s">
        <v>16</v>
      </c>
      <c r="F2" s="3" t="n">
        <v>5</v>
      </c>
      <c r="G2" s="3" t="n">
        <v>5</v>
      </c>
      <c r="H2" s="3" t="n">
        <f aca="false">F2*G2</f>
        <v>25</v>
      </c>
      <c r="I2" s="3" t="str">
        <f aca="false">IF(H2&gt;=20,"Critical",IF(H2&gt;=12,"High",IF(H2&gt;=6,"Medium","Low")))</f>
        <v>Critical</v>
      </c>
      <c r="J2" s="3" t="s">
        <v>17</v>
      </c>
      <c r="K2" s="3" t="s">
        <v>18</v>
      </c>
      <c r="L2" s="3" t="s">
        <v>19</v>
      </c>
    </row>
    <row r="3" customFormat="false" ht="45.75" hidden="false" customHeight="true" outlineLevel="0" collapsed="false">
      <c r="A3" s="3" t="s">
        <v>20</v>
      </c>
      <c r="B3" s="3" t="s">
        <v>21</v>
      </c>
      <c r="C3" s="3" t="s">
        <v>14</v>
      </c>
      <c r="D3" s="3" t="s">
        <v>22</v>
      </c>
      <c r="E3" s="3" t="s">
        <v>16</v>
      </c>
      <c r="F3" s="3" t="n">
        <v>5</v>
      </c>
      <c r="G3" s="3" t="n">
        <v>4</v>
      </c>
      <c r="H3" s="3" t="n">
        <f aca="false">F3*G3</f>
        <v>20</v>
      </c>
      <c r="I3" s="3" t="str">
        <f aca="false">IF(H3&gt;=20,"Critical",IF(H3&gt;=12,"High",IF(H3&gt;=6,"Medium","Low")))</f>
        <v>Critical</v>
      </c>
      <c r="J3" s="3" t="s">
        <v>23</v>
      </c>
      <c r="K3" s="3" t="s">
        <v>18</v>
      </c>
      <c r="L3" s="3" t="s">
        <v>19</v>
      </c>
    </row>
    <row r="4" customFormat="false" ht="23.25" hidden="false" customHeight="true" outlineLevel="0" collapsed="false">
      <c r="A4" s="3" t="s">
        <v>24</v>
      </c>
      <c r="B4" s="3" t="s">
        <v>25</v>
      </c>
      <c r="C4" s="3" t="s">
        <v>26</v>
      </c>
      <c r="D4" s="3" t="s">
        <v>27</v>
      </c>
      <c r="E4" s="3" t="s">
        <v>28</v>
      </c>
      <c r="F4" s="3" t="n">
        <v>4</v>
      </c>
      <c r="G4" s="3" t="n">
        <v>5</v>
      </c>
      <c r="H4" s="3" t="n">
        <f aca="false">F4*G4</f>
        <v>20</v>
      </c>
      <c r="I4" s="3" t="str">
        <f aca="false">IF(H4&gt;=20,"Critical",IF(H4&gt;=12,"High",IF(H4&gt;=6,"Medium","Low")))</f>
        <v>Critical</v>
      </c>
      <c r="J4" s="3" t="s">
        <v>29</v>
      </c>
      <c r="K4" s="3" t="s">
        <v>18</v>
      </c>
      <c r="L4" s="3" t="s">
        <v>19</v>
      </c>
    </row>
    <row r="5" customFormat="false" ht="34.5" hidden="false" customHeight="true" outlineLevel="0" collapsed="false">
      <c r="A5" s="3" t="s">
        <v>30</v>
      </c>
      <c r="B5" s="3" t="s">
        <v>31</v>
      </c>
      <c r="C5" s="3" t="s">
        <v>14</v>
      </c>
      <c r="D5" s="3" t="s">
        <v>32</v>
      </c>
      <c r="E5" s="3" t="s">
        <v>16</v>
      </c>
      <c r="F5" s="3" t="n">
        <v>4</v>
      </c>
      <c r="G5" s="3" t="n">
        <v>3</v>
      </c>
      <c r="H5" s="3" t="n">
        <f aca="false">F5*G5</f>
        <v>12</v>
      </c>
      <c r="I5" s="3" t="str">
        <f aca="false">IF(H5&gt;=20,"Critical",IF(H5&gt;=12,"High",IF(H5&gt;=6,"Medium","Low")))</f>
        <v>High</v>
      </c>
      <c r="J5" s="3" t="s">
        <v>33</v>
      </c>
      <c r="K5" s="3" t="s">
        <v>18</v>
      </c>
      <c r="L5" s="3" t="s">
        <v>19</v>
      </c>
    </row>
    <row r="6" customFormat="false" ht="34.5" hidden="false" customHeight="true" outlineLevel="0" collapsed="false">
      <c r="A6" s="3" t="s">
        <v>34</v>
      </c>
      <c r="B6" s="3" t="s">
        <v>35</v>
      </c>
      <c r="C6" s="3" t="s">
        <v>36</v>
      </c>
      <c r="D6" s="3" t="s">
        <v>37</v>
      </c>
      <c r="E6" s="3" t="s">
        <v>38</v>
      </c>
      <c r="F6" s="3" t="n">
        <v>3</v>
      </c>
      <c r="G6" s="3" t="n">
        <v>4</v>
      </c>
      <c r="H6" s="3" t="n">
        <f aca="false">F6*G6</f>
        <v>12</v>
      </c>
      <c r="I6" s="3" t="str">
        <f aca="false">IF(H6&gt;=20,"Critical",IF(H6&gt;=12,"High",IF(H6&gt;=6,"Medium","Low")))</f>
        <v>High</v>
      </c>
      <c r="J6" s="3" t="s">
        <v>39</v>
      </c>
      <c r="K6" s="3" t="s">
        <v>40</v>
      </c>
      <c r="L6" s="3" t="s">
        <v>19</v>
      </c>
    </row>
    <row r="7" customFormat="false" ht="34.5" hidden="false" customHeight="true" outlineLevel="0" collapsed="false">
      <c r="A7" s="3" t="s">
        <v>41</v>
      </c>
      <c r="B7" s="3" t="s">
        <v>42</v>
      </c>
      <c r="C7" s="3" t="s">
        <v>43</v>
      </c>
      <c r="D7" s="3" t="s">
        <v>44</v>
      </c>
      <c r="E7" s="3" t="s">
        <v>45</v>
      </c>
      <c r="F7" s="3" t="n">
        <v>3</v>
      </c>
      <c r="G7" s="3" t="n">
        <v>4</v>
      </c>
      <c r="H7" s="3" t="n">
        <f aca="false">F7*G7</f>
        <v>12</v>
      </c>
      <c r="I7" s="3" t="str">
        <f aca="false">IF(H7&gt;=20,"Critical",IF(H7&gt;=12,"High",IF(H7&gt;=6,"Medium","Low")))</f>
        <v>High</v>
      </c>
      <c r="J7" s="3" t="s">
        <v>46</v>
      </c>
      <c r="K7" s="3" t="s">
        <v>18</v>
      </c>
      <c r="L7" s="3" t="s">
        <v>19</v>
      </c>
    </row>
    <row r="8" customFormat="false" ht="34.5" hidden="false" customHeight="true" outlineLevel="0" collapsed="false">
      <c r="A8" s="3" t="s">
        <v>47</v>
      </c>
      <c r="B8" s="3" t="s">
        <v>48</v>
      </c>
      <c r="C8" s="3" t="s">
        <v>49</v>
      </c>
      <c r="D8" s="3" t="s">
        <v>50</v>
      </c>
      <c r="E8" s="3" t="s">
        <v>51</v>
      </c>
      <c r="F8" s="3" t="n">
        <v>3</v>
      </c>
      <c r="G8" s="3" t="n">
        <v>4</v>
      </c>
      <c r="H8" s="3" t="n">
        <f aca="false">F8*G8</f>
        <v>12</v>
      </c>
      <c r="I8" s="3" t="str">
        <f aca="false">IF(H8&gt;=20,"Critical",IF(H8&gt;=12,"High",IF(H8&gt;=6,"Medium","Low")))</f>
        <v>High</v>
      </c>
      <c r="J8" s="3" t="s">
        <v>52</v>
      </c>
      <c r="K8" s="3" t="s">
        <v>18</v>
      </c>
      <c r="L8" s="3" t="s">
        <v>19</v>
      </c>
    </row>
    <row r="9" customFormat="false" ht="23.25" hidden="false" customHeight="true" outlineLevel="0" collapsed="false">
      <c r="A9" s="3" t="s">
        <v>53</v>
      </c>
      <c r="B9" s="3" t="s">
        <v>54</v>
      </c>
      <c r="C9" s="3" t="s">
        <v>55</v>
      </c>
      <c r="D9" s="3" t="s">
        <v>56</v>
      </c>
      <c r="E9" s="3" t="s">
        <v>57</v>
      </c>
      <c r="F9" s="3" t="n">
        <v>3</v>
      </c>
      <c r="G9" s="3" t="n">
        <v>3</v>
      </c>
      <c r="H9" s="3" t="n">
        <f aca="false">F9*G9</f>
        <v>9</v>
      </c>
      <c r="I9" s="3" t="str">
        <f aca="false">IF(H9&gt;=20,"Critical",IF(H9&gt;=12,"High",IF(H9&gt;=6,"Medium","Low")))</f>
        <v>Medium</v>
      </c>
      <c r="J9" s="3" t="s">
        <v>58</v>
      </c>
      <c r="K9" s="3" t="s">
        <v>40</v>
      </c>
      <c r="L9" s="3" t="s">
        <v>19</v>
      </c>
    </row>
    <row r="10" customFormat="false" ht="23.25" hidden="false" customHeight="true" outlineLevel="0" collapsed="false">
      <c r="A10" s="3" t="s">
        <v>59</v>
      </c>
      <c r="B10" s="3" t="s">
        <v>60</v>
      </c>
      <c r="C10" s="3" t="s">
        <v>55</v>
      </c>
      <c r="D10" s="3" t="s">
        <v>61</v>
      </c>
      <c r="E10" s="3" t="s">
        <v>62</v>
      </c>
      <c r="F10" s="3" t="n">
        <v>3</v>
      </c>
      <c r="G10" s="3" t="n">
        <v>3</v>
      </c>
      <c r="H10" s="3" t="n">
        <f aca="false">F10*G10</f>
        <v>9</v>
      </c>
      <c r="I10" s="3" t="str">
        <f aca="false">IF(H10&gt;=20,"Critical",IF(H10&gt;=12,"High",IF(H10&gt;=6,"Medium","Low")))</f>
        <v>Medium</v>
      </c>
      <c r="J10" s="3" t="s">
        <v>63</v>
      </c>
      <c r="K10" s="3" t="s">
        <v>64</v>
      </c>
      <c r="L10" s="3" t="s">
        <v>19</v>
      </c>
    </row>
    <row r="11" customFormat="false" ht="34.5" hidden="false" customHeight="true" outlineLevel="0" collapsed="false">
      <c r="A11" s="3" t="s">
        <v>65</v>
      </c>
      <c r="B11" s="3" t="s">
        <v>66</v>
      </c>
      <c r="C11" s="3" t="s">
        <v>55</v>
      </c>
      <c r="D11" s="3" t="s">
        <v>67</v>
      </c>
      <c r="E11" s="3" t="s">
        <v>68</v>
      </c>
      <c r="F11" s="3" t="n">
        <v>3</v>
      </c>
      <c r="G11" s="3" t="n">
        <v>3</v>
      </c>
      <c r="H11" s="3" t="n">
        <f aca="false">F11*G11</f>
        <v>9</v>
      </c>
      <c r="I11" s="3" t="str">
        <f aca="false">IF(H11&gt;=20,"Critical",IF(H11&gt;=12,"High",IF(H11&gt;=6,"Medium","Low")))</f>
        <v>Medium</v>
      </c>
      <c r="J11" s="3" t="s">
        <v>69</v>
      </c>
      <c r="K11" s="3" t="s">
        <v>18</v>
      </c>
      <c r="L11" s="3" t="s">
        <v>19</v>
      </c>
    </row>
    <row r="12" customFormat="false" ht="34.5" hidden="false" customHeight="true" outlineLevel="0" collapsed="false">
      <c r="A12" s="3" t="s">
        <v>70</v>
      </c>
      <c r="B12" s="3" t="s">
        <v>71</v>
      </c>
      <c r="C12" s="3" t="s">
        <v>72</v>
      </c>
      <c r="D12" s="3" t="s">
        <v>73</v>
      </c>
      <c r="E12" s="3" t="s">
        <v>74</v>
      </c>
      <c r="F12" s="3" t="n">
        <v>3</v>
      </c>
      <c r="G12" s="3" t="n">
        <v>3</v>
      </c>
      <c r="H12" s="3" t="n">
        <f aca="false">F12*G12</f>
        <v>9</v>
      </c>
      <c r="I12" s="3" t="str">
        <f aca="false">IF(H12&gt;=20,"Critical",IF(H12&gt;=12,"High",IF(H12&gt;=6,"Medium","Low")))</f>
        <v>Medium</v>
      </c>
      <c r="J12" s="3" t="s">
        <v>75</v>
      </c>
      <c r="K12" s="3" t="s">
        <v>18</v>
      </c>
      <c r="L12" s="3" t="s">
        <v>19</v>
      </c>
    </row>
    <row r="13" customFormat="false" ht="23.25" hidden="false" customHeight="true" outlineLevel="0" collapsed="false">
      <c r="A13" s="3" t="s">
        <v>76</v>
      </c>
      <c r="B13" s="3" t="s">
        <v>77</v>
      </c>
      <c r="C13" s="3" t="s">
        <v>43</v>
      </c>
      <c r="D13" s="3" t="s">
        <v>78</v>
      </c>
      <c r="E13" s="3" t="s">
        <v>79</v>
      </c>
      <c r="F13" s="3" t="n">
        <v>3</v>
      </c>
      <c r="G13" s="3" t="n">
        <v>3</v>
      </c>
      <c r="H13" s="3" t="n">
        <f aca="false">F13*G13</f>
        <v>9</v>
      </c>
      <c r="I13" s="3" t="str">
        <f aca="false">IF(H13&gt;=20,"Critical",IF(H13&gt;=12,"High",IF(H13&gt;=6,"Medium","Low")))</f>
        <v>Medium</v>
      </c>
      <c r="J13" s="3" t="s">
        <v>80</v>
      </c>
      <c r="K13" s="3" t="s">
        <v>18</v>
      </c>
      <c r="L13" s="3" t="s">
        <v>19</v>
      </c>
    </row>
    <row r="14" customFormat="false" ht="34.5" hidden="false" customHeight="true" outlineLevel="0" collapsed="false">
      <c r="A14" s="3" t="s">
        <v>81</v>
      </c>
      <c r="B14" s="3" t="s">
        <v>82</v>
      </c>
      <c r="C14" s="3" t="s">
        <v>72</v>
      </c>
      <c r="D14" s="3" t="s">
        <v>83</v>
      </c>
      <c r="E14" s="3" t="s">
        <v>84</v>
      </c>
      <c r="F14" s="3" t="n">
        <v>2</v>
      </c>
      <c r="G14" s="3" t="n">
        <v>3</v>
      </c>
      <c r="H14" s="3" t="n">
        <f aca="false">F14*G14</f>
        <v>6</v>
      </c>
      <c r="I14" s="3" t="str">
        <f aca="false">IF(H14&gt;=20,"Critical",IF(H14&gt;=12,"High",IF(H14&gt;=6,"Medium","Low")))</f>
        <v>Medium</v>
      </c>
      <c r="J14" s="3" t="s">
        <v>85</v>
      </c>
      <c r="K14" s="3" t="s">
        <v>18</v>
      </c>
      <c r="L14" s="3" t="s">
        <v>19</v>
      </c>
    </row>
    <row r="15" customFormat="false" ht="34.5" hidden="false" customHeight="true" outlineLevel="0" collapsed="false">
      <c r="A15" s="3" t="s">
        <v>86</v>
      </c>
      <c r="B15" s="3" t="s">
        <v>87</v>
      </c>
      <c r="C15" s="3" t="s">
        <v>43</v>
      </c>
      <c r="D15" s="3" t="s">
        <v>88</v>
      </c>
      <c r="E15" s="3" t="s">
        <v>89</v>
      </c>
      <c r="F15" s="3" t="n">
        <v>2</v>
      </c>
      <c r="G15" s="3" t="n">
        <v>3</v>
      </c>
      <c r="H15" s="3" t="n">
        <f aca="false">F15*G15</f>
        <v>6</v>
      </c>
      <c r="I15" s="3" t="str">
        <f aca="false">IF(H15&gt;=20,"Critical",IF(H15&gt;=12,"High",IF(H15&gt;=6,"Medium","Low")))</f>
        <v>Medium</v>
      </c>
      <c r="J15" s="3" t="s">
        <v>90</v>
      </c>
      <c r="K15" s="3" t="s">
        <v>64</v>
      </c>
      <c r="L15" s="3" t="s">
        <v>19</v>
      </c>
    </row>
    <row r="16" customFormat="false" ht="34.5" hidden="false" customHeight="true" outlineLevel="0" collapsed="false">
      <c r="A16" s="3" t="s">
        <v>91</v>
      </c>
      <c r="B16" s="3" t="s">
        <v>92</v>
      </c>
      <c r="C16" s="3" t="s">
        <v>26</v>
      </c>
      <c r="D16" s="3" t="s">
        <v>93</v>
      </c>
      <c r="E16" s="3" t="s">
        <v>94</v>
      </c>
      <c r="F16" s="3" t="n">
        <v>2</v>
      </c>
      <c r="G16" s="3" t="n">
        <v>3</v>
      </c>
      <c r="H16" s="3" t="n">
        <f aca="false">F16*G16</f>
        <v>6</v>
      </c>
      <c r="I16" s="3" t="str">
        <f aca="false">IF(H16&gt;=20,"Critical",IF(H16&gt;=12,"High",IF(H16&gt;=6,"Medium","Low")))</f>
        <v>Medium</v>
      </c>
      <c r="J16" s="3" t="s">
        <v>95</v>
      </c>
      <c r="K16" s="3" t="s">
        <v>18</v>
      </c>
      <c r="L16" s="3" t="s">
        <v>19</v>
      </c>
    </row>
    <row r="17" customFormat="false" ht="23.25" hidden="false" customHeight="true" outlineLevel="0" collapsed="false">
      <c r="A17" s="3" t="s">
        <v>96</v>
      </c>
      <c r="B17" s="3" t="s">
        <v>97</v>
      </c>
      <c r="C17" s="3" t="s">
        <v>14</v>
      </c>
      <c r="D17" s="3" t="s">
        <v>98</v>
      </c>
      <c r="E17" s="3" t="s">
        <v>99</v>
      </c>
      <c r="F17" s="3" t="n">
        <v>2</v>
      </c>
      <c r="G17" s="3" t="n">
        <v>2</v>
      </c>
      <c r="H17" s="3" t="n">
        <f aca="false">F17*G17</f>
        <v>4</v>
      </c>
      <c r="I17" s="3" t="str">
        <f aca="false">IF(H17&gt;=20,"Critical",IF(H17&gt;=12,"High",IF(H17&gt;=6,"Medium","Low")))</f>
        <v>Low</v>
      </c>
      <c r="J17" s="3" t="s">
        <v>100</v>
      </c>
      <c r="K17" s="3" t="s">
        <v>18</v>
      </c>
      <c r="L17" s="3" t="s">
        <v>19</v>
      </c>
    </row>
    <row r="18" customFormat="false" ht="34.5" hidden="false" customHeight="true" outlineLevel="0" collapsed="false">
      <c r="A18" s="3" t="s">
        <v>101</v>
      </c>
      <c r="B18" s="3" t="s">
        <v>102</v>
      </c>
      <c r="C18" s="3" t="s">
        <v>72</v>
      </c>
      <c r="D18" s="3" t="s">
        <v>103</v>
      </c>
      <c r="E18" s="3" t="s">
        <v>104</v>
      </c>
      <c r="F18" s="3" t="n">
        <v>2</v>
      </c>
      <c r="G18" s="3" t="n">
        <v>2</v>
      </c>
      <c r="H18" s="3" t="n">
        <f aca="false">F18*G18</f>
        <v>4</v>
      </c>
      <c r="I18" s="3" t="str">
        <f aca="false">IF(H18&gt;=20,"Critical",IF(H18&gt;=12,"High",IF(H18&gt;=6,"Medium","Low")))</f>
        <v>Low</v>
      </c>
      <c r="J18" s="3" t="s">
        <v>105</v>
      </c>
      <c r="K18" s="3" t="s">
        <v>18</v>
      </c>
      <c r="L18" s="3" t="s">
        <v>19</v>
      </c>
    </row>
    <row r="19" customFormat="false" ht="34.5" hidden="false" customHeight="true" outlineLevel="0" collapsed="false">
      <c r="A19" s="3" t="s">
        <v>106</v>
      </c>
      <c r="B19" s="3" t="s">
        <v>107</v>
      </c>
      <c r="C19" s="3" t="s">
        <v>72</v>
      </c>
      <c r="D19" s="3" t="s">
        <v>108</v>
      </c>
      <c r="E19" s="3" t="s">
        <v>109</v>
      </c>
      <c r="F19" s="3" t="n">
        <v>2</v>
      </c>
      <c r="G19" s="3" t="n">
        <v>2</v>
      </c>
      <c r="H19" s="3" t="n">
        <f aca="false">F19*G19</f>
        <v>4</v>
      </c>
      <c r="I19" s="3" t="str">
        <f aca="false">IF(H19&gt;=20,"Critical",IF(H19&gt;=12,"High",IF(H19&gt;=6,"Medium","Low")))</f>
        <v>Low</v>
      </c>
      <c r="J19" s="3" t="s">
        <v>110</v>
      </c>
      <c r="K19" s="3" t="s">
        <v>18</v>
      </c>
      <c r="L19" s="3" t="s">
        <v>19</v>
      </c>
    </row>
    <row r="20" customFormat="false" ht="34.5" hidden="false" customHeight="true" outlineLevel="0" collapsed="false">
      <c r="A20" s="3" t="s">
        <v>111</v>
      </c>
      <c r="B20" s="3" t="s">
        <v>112</v>
      </c>
      <c r="C20" s="3" t="s">
        <v>14</v>
      </c>
      <c r="D20" s="3" t="s">
        <v>113</v>
      </c>
      <c r="E20" s="3" t="s">
        <v>114</v>
      </c>
      <c r="F20" s="3" t="n">
        <v>2</v>
      </c>
      <c r="G20" s="3" t="n">
        <v>2</v>
      </c>
      <c r="H20" s="3" t="n">
        <f aca="false">F20*G20</f>
        <v>4</v>
      </c>
      <c r="I20" s="3" t="str">
        <f aca="false">IF(H20&gt;=20,"Critical",IF(H20&gt;=12,"High",IF(H20&gt;=6,"Medium","Low")))</f>
        <v>Low</v>
      </c>
      <c r="J20" s="3" t="s">
        <v>115</v>
      </c>
      <c r="K20" s="3" t="s">
        <v>18</v>
      </c>
      <c r="L20" s="3" t="s">
        <v>19</v>
      </c>
    </row>
    <row r="22" customFormat="false" ht="15" hidden="false" customHeight="true" outlineLevel="0" collapsed="false">
      <c r="A22" s="4" t="s">
        <v>116</v>
      </c>
    </row>
  </sheetData>
  <conditionalFormatting sqref="I2:I20">
    <cfRule type="expression" priority="2" aboveAverage="0" equalAverage="0" bottom="0" percent="0" rank="0" text="" dxfId="0">
      <formula>$I2="Critical"</formula>
    </cfRule>
    <cfRule type="expression" priority="3" aboveAverage="0" equalAverage="0" bottom="0" percent="0" rank="0" text="" dxfId="1">
      <formula>$I2="High"</formula>
    </cfRule>
    <cfRule type="expression" priority="4" aboveAverage="0" equalAverage="0" bottom="0" percent="0" rank="0" text="" dxfId="2">
      <formula>$I2="Medium"</formula>
    </cfRule>
    <cfRule type="expression" priority="5" aboveAverage="0" equalAverage="0" bottom="0" percent="0" rank="0" text="" dxfId="3">
      <formula>$I2="Low"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s>
  <sheetData>
    <row r="1" customFormat="false" ht="15" hidden="false" customHeight="true" outlineLevel="0" collapsed="false">
      <c r="A1" s="5" t="s">
        <v>8</v>
      </c>
      <c r="B1" s="5" t="s">
        <v>117</v>
      </c>
    </row>
    <row r="2" customFormat="false" ht="15" hidden="false" customHeight="true" outlineLevel="0" collapsed="false">
      <c r="A2" s="6" t="s">
        <v>118</v>
      </c>
      <c r="B2" s="6" t="n">
        <f aca="false">COUNTIF(Findings!$I$2:$I$20,A2)</f>
        <v>3</v>
      </c>
    </row>
    <row r="3" customFormat="false" ht="15" hidden="false" customHeight="true" outlineLevel="0" collapsed="false">
      <c r="A3" s="6" t="s">
        <v>119</v>
      </c>
      <c r="B3" s="6" t="n">
        <f aca="false">COUNTIF(Findings!$I$2:$I$20,A3)</f>
        <v>4</v>
      </c>
    </row>
    <row r="4" customFormat="false" ht="15" hidden="false" customHeight="true" outlineLevel="0" collapsed="false">
      <c r="A4" s="6" t="s">
        <v>120</v>
      </c>
      <c r="B4" s="6" t="n">
        <f aca="false">COUNTIF(Findings!$I$2:$I$20,A4)</f>
        <v>8</v>
      </c>
    </row>
    <row r="5" customFormat="false" ht="15" hidden="false" customHeight="true" outlineLevel="0" collapsed="false">
      <c r="A5" s="6" t="s">
        <v>121</v>
      </c>
      <c r="B5" s="6" t="n">
        <f aca="false">COUNTIF(Findings!$I$2:$I$20,A5)</f>
        <v>4</v>
      </c>
    </row>
    <row r="6" customFormat="false" ht="15" hidden="false" customHeight="true" outlineLevel="0" collapsed="false">
      <c r="A6" s="5" t="s">
        <v>122</v>
      </c>
      <c r="B6" s="5" t="n">
        <f aca="false">SUM(B2:B5)</f>
        <v>19</v>
      </c>
    </row>
    <row r="7" customFormat="false" ht="15" hidden="false" customHeight="true" outlineLevel="0" collapsed="false">
      <c r="A7" s="6"/>
      <c r="B7" s="6"/>
    </row>
    <row r="8" customFormat="false" ht="15" hidden="false" customHeight="true" outlineLevel="0" collapsed="false">
      <c r="A8" s="5" t="s">
        <v>11</v>
      </c>
      <c r="B8" s="5" t="s">
        <v>117</v>
      </c>
    </row>
    <row r="9" customFormat="false" ht="15" hidden="false" customHeight="true" outlineLevel="0" collapsed="false">
      <c r="A9" s="6" t="s">
        <v>19</v>
      </c>
      <c r="B9" s="6" t="n">
        <f aca="false">COUNTIF(Findings!$L$2:$L$20,A9)</f>
        <v>19</v>
      </c>
    </row>
    <row r="10" customFormat="false" ht="15" hidden="false" customHeight="true" outlineLevel="0" collapsed="false">
      <c r="A10" s="6" t="s">
        <v>123</v>
      </c>
      <c r="B10" s="6" t="n">
        <f aca="false">COUNTIF(Findings!$L$2:$L$20,A10)</f>
        <v>0</v>
      </c>
    </row>
    <row r="11" customFormat="false" ht="15" hidden="false" customHeight="true" outlineLevel="0" collapsed="false">
      <c r="A11" s="6" t="s">
        <v>124</v>
      </c>
      <c r="B11" s="6" t="n">
        <f aca="false">COUNTIF(Findings!$L$2:$L$20,A11)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2026-10-28T10:29:17Z</dcterms:created>
  <dc:creator>openpyxl</dc:creator>
  <dc:description/>
  <dc:language>en-US</dc:language>
  <cp:lastModifiedBy/>
  <dcterms:modified xsi:type="dcterms:W3CDTF">2026-10-28T11:36:21Z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